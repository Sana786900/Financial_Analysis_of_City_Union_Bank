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tudent's Info" sheetId="1" r:id="rId1"/>
    <sheet name="Raw Data" sheetId="2" r:id="rId2"/>
    <sheet name="Ratio Analysis" sheetId="4" r:id="rId3"/>
  </sheets>
  <calcPr calcId="144525"/>
</workbook>
</file>

<file path=xl/calcChain.xml><?xml version="1.0" encoding="utf-8"?>
<calcChain xmlns="http://schemas.openxmlformats.org/spreadsheetml/2006/main">
  <c r="G102" i="4" l="1"/>
  <c r="F102" i="4"/>
  <c r="E102" i="4"/>
  <c r="D102" i="4"/>
  <c r="C102" i="4"/>
  <c r="B102" i="4"/>
  <c r="G96" i="4"/>
  <c r="F96" i="4"/>
  <c r="E96" i="4"/>
  <c r="D96" i="4"/>
  <c r="C96" i="4"/>
  <c r="B96" i="4"/>
  <c r="G80" i="4"/>
  <c r="F80" i="4"/>
  <c r="E80" i="4"/>
  <c r="D80" i="4"/>
  <c r="C80" i="4"/>
  <c r="B80" i="4"/>
  <c r="D74" i="4"/>
  <c r="G72" i="4"/>
  <c r="G74" i="4" s="1"/>
  <c r="F72" i="4"/>
  <c r="F74" i="4" s="1"/>
  <c r="E72" i="4"/>
  <c r="E74" i="4" s="1"/>
  <c r="D72" i="4"/>
  <c r="C72" i="4"/>
  <c r="C74" i="4" s="1"/>
  <c r="B72" i="4"/>
  <c r="B74" i="4" s="1"/>
  <c r="G63" i="4"/>
  <c r="F63" i="4"/>
  <c r="E63" i="4"/>
  <c r="D63" i="4"/>
  <c r="C63" i="4"/>
  <c r="B63" i="4"/>
  <c r="D57" i="4"/>
  <c r="G55" i="4"/>
  <c r="G57" i="4" s="1"/>
  <c r="F55" i="4"/>
  <c r="F57" i="4" s="1"/>
  <c r="E55" i="4"/>
  <c r="E57" i="4" s="1"/>
  <c r="D55" i="4"/>
  <c r="C55" i="4"/>
  <c r="C57" i="4" s="1"/>
  <c r="B55" i="4"/>
  <c r="B57" i="4" s="1"/>
  <c r="G46" i="4"/>
  <c r="F46" i="4"/>
  <c r="E46" i="4"/>
  <c r="D46" i="4"/>
  <c r="C46" i="4"/>
  <c r="B46" i="4"/>
  <c r="G40" i="4"/>
  <c r="F40" i="4"/>
  <c r="E40" i="4"/>
  <c r="D40" i="4"/>
  <c r="C40" i="4"/>
  <c r="B40" i="4"/>
  <c r="G34" i="4"/>
  <c r="F34" i="4"/>
  <c r="E34" i="4"/>
  <c r="D34" i="4"/>
  <c r="C34" i="4"/>
  <c r="B34" i="4"/>
  <c r="G25" i="4"/>
  <c r="F25" i="4"/>
  <c r="E25" i="4"/>
  <c r="D25" i="4"/>
  <c r="C25" i="4"/>
  <c r="B25" i="4"/>
  <c r="G19" i="4"/>
  <c r="F19" i="4"/>
  <c r="E19" i="4"/>
  <c r="D19" i="4"/>
  <c r="C19" i="4"/>
  <c r="B19" i="4"/>
  <c r="G13" i="4"/>
  <c r="F13" i="4"/>
  <c r="E13" i="4"/>
  <c r="D13" i="4"/>
  <c r="C13" i="4"/>
  <c r="B13" i="4"/>
  <c r="G7" i="4"/>
  <c r="F7" i="4"/>
  <c r="E7" i="4"/>
  <c r="D7" i="4"/>
  <c r="C7" i="4"/>
  <c r="B7" i="4"/>
</calcChain>
</file>

<file path=xl/sharedStrings.xml><?xml version="1.0" encoding="utf-8"?>
<sst xmlns="http://schemas.openxmlformats.org/spreadsheetml/2006/main" count="251" uniqueCount="98">
  <si>
    <t>Divyansh Sahai</t>
  </si>
  <si>
    <t>Name:</t>
  </si>
  <si>
    <t xml:space="preserve">Roll Number: </t>
  </si>
  <si>
    <t>68A</t>
  </si>
  <si>
    <t>Course:</t>
  </si>
  <si>
    <t>Banking &amp; Financial Intermediation</t>
  </si>
  <si>
    <t>University:</t>
  </si>
  <si>
    <t>Bank choosen for analysis:</t>
  </si>
  <si>
    <t>City Union Bank (CUB)</t>
  </si>
  <si>
    <t>Data Soruced:</t>
  </si>
  <si>
    <t>Email ID:</t>
  </si>
  <si>
    <t>Dr. Duke Ghosh</t>
  </si>
  <si>
    <t>dukeghosh.study@gmail.com</t>
  </si>
  <si>
    <t>IIFT Email ID:</t>
  </si>
  <si>
    <t>divyansh_eco26@iift.edu</t>
  </si>
  <si>
    <t>Personal Email ID:</t>
  </si>
  <si>
    <t>divyanshsahai11@gmail.com</t>
  </si>
  <si>
    <t>SUBMITTED BY:-</t>
  </si>
  <si>
    <t>SUBMITTED TO:-</t>
  </si>
  <si>
    <t>Indian Institute of Firegn Trade, New Delhi Campus</t>
  </si>
  <si>
    <t>Total Assets</t>
  </si>
  <si>
    <t>Total Deposits</t>
  </si>
  <si>
    <t>CASA Deposits</t>
  </si>
  <si>
    <t>Interest Earned</t>
  </si>
  <si>
    <t>Interest Expended</t>
  </si>
  <si>
    <t>Net Interest Income (NII)</t>
  </si>
  <si>
    <t>Other Income</t>
  </si>
  <si>
    <t>Operating Expenses</t>
  </si>
  <si>
    <t>Annual Reports from CUB's official website , RBI website (Trends &amp; Progress of Banking In India 2023-24)</t>
  </si>
  <si>
    <t>Net Advances</t>
  </si>
  <si>
    <t>Investments</t>
  </si>
  <si>
    <t>Total Liabilites</t>
  </si>
  <si>
    <t>Shareholder's Equity/ Net Worth</t>
  </si>
  <si>
    <t>Total Advances (Gross Advances)</t>
  </si>
  <si>
    <t>Borrowings</t>
  </si>
  <si>
    <t>Other Liabilites</t>
  </si>
  <si>
    <t>BALANCE SHEET</t>
  </si>
  <si>
    <t>Operationg Income (NII + Non- Interest Income)</t>
  </si>
  <si>
    <t>Operationg Profit (PPOP)</t>
  </si>
  <si>
    <t>Net Profit (PAT)</t>
  </si>
  <si>
    <t>ASSET QUALITY</t>
  </si>
  <si>
    <t>Provisions for NPAs</t>
  </si>
  <si>
    <t>CAPITAL ADEQUANCY</t>
  </si>
  <si>
    <t>CRAR (%)</t>
  </si>
  <si>
    <t xml:space="preserve">Tier 1 Capital Ratio (%) </t>
  </si>
  <si>
    <t>Tier 2 Capital Rratio (%)</t>
  </si>
  <si>
    <t xml:space="preserve">Gross NPA </t>
  </si>
  <si>
    <t xml:space="preserve">Net NPA </t>
  </si>
  <si>
    <t>FY 2020</t>
  </si>
  <si>
    <t>FY 2021</t>
  </si>
  <si>
    <t>FY 2022</t>
  </si>
  <si>
    <t xml:space="preserve"> FY 2023</t>
  </si>
  <si>
    <t>FY 2024</t>
  </si>
  <si>
    <t>FY 2025</t>
  </si>
  <si>
    <t>Metrics (₹ in crores)</t>
  </si>
  <si>
    <t>Metrics</t>
  </si>
  <si>
    <t>PROFIT &amp; LOSS STATEMENT</t>
  </si>
  <si>
    <t>Particulars</t>
  </si>
  <si>
    <t>Gross Advances</t>
  </si>
  <si>
    <t>Return on Assets (ROA)</t>
  </si>
  <si>
    <t>PROFITABILITY RATIOS:</t>
  </si>
  <si>
    <t>Return on Equity (ROE)</t>
  </si>
  <si>
    <t>ROE [{Net Profit/Net Worth}*100]</t>
  </si>
  <si>
    <t>ROA [{Net Profit/Total Assets}*100]</t>
  </si>
  <si>
    <t>Cost-to-Income Ratio</t>
  </si>
  <si>
    <t>ASSET QUALITY RATIOS:</t>
  </si>
  <si>
    <t>Gross NPA Ratio</t>
  </si>
  <si>
    <t>Net NPA Ratio</t>
  </si>
  <si>
    <t>Provision Coverage Ratio (PCR)</t>
  </si>
  <si>
    <t>Cost-to-Income Ratio [{Operating Expenses/Operating Income}*100]</t>
  </si>
  <si>
    <t>Gross NPA Ratio [{Gross NPA/Gross Advances}*100]</t>
  </si>
  <si>
    <t>Net NPA Ratio [{Net NPA/Net Advances}*100]</t>
  </si>
  <si>
    <t>PCR [{Provisions for NPAs/Gross NPA}*100]</t>
  </si>
  <si>
    <t>Net Profit Margin</t>
  </si>
  <si>
    <t>Net Profit Margin [{PAT/Operating Income}*100]</t>
  </si>
  <si>
    <t>EFFICIENCY RATIOS:</t>
  </si>
  <si>
    <t>Business per Employee</t>
  </si>
  <si>
    <t>Permanent Employees</t>
  </si>
  <si>
    <t>Profit per Employee</t>
  </si>
  <si>
    <t>NUMBER OF EMPLOYEES</t>
  </si>
  <si>
    <t>PROVISIONING RATIOS:</t>
  </si>
  <si>
    <t>Loan Loss Provision Ratio (LLPR)</t>
  </si>
  <si>
    <t xml:space="preserve">Total Advances (Gross Advances)  </t>
  </si>
  <si>
    <t>Total Deposits + Total Advances [C]</t>
  </si>
  <si>
    <t>Business per Employee [C/Permanent Employees]</t>
  </si>
  <si>
    <t>LLPR [{Provisions for NPAs/Gross Advances}*100]</t>
  </si>
  <si>
    <t>Net Charge-Off Ratio</t>
  </si>
  <si>
    <t>LIQUIDITY RATIO:</t>
  </si>
  <si>
    <t>Liquidity Coverage Ratio (LCR)</t>
  </si>
  <si>
    <t>Equity Ratio</t>
  </si>
  <si>
    <t>Equity Ratio [{Net Worth/Total Assets}*100]</t>
  </si>
  <si>
    <t>Equity Multiplier</t>
  </si>
  <si>
    <t>Equity Multiplier [Total Assets/Net Worth]</t>
  </si>
  <si>
    <t>Movement of NPAs (Recoveries)</t>
  </si>
  <si>
    <t>Movement of NPAs (Write-offs)</t>
  </si>
  <si>
    <t>Net Charge-Off [Write-Offs - Recoveries]</t>
  </si>
  <si>
    <t>Net Charge-Off Ratio [{Net Charge-Off/Gross Advances}*100]</t>
  </si>
  <si>
    <t>CAPITAL STRUCTURE RATIOS: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</si>
</sst>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9" fillId="0" borderId="0" applyFont="0" applyFill="0" applyBorder="0" applyAlignment="0" applyProtection="0"/>
  </cellStyleXfs>
  <cellXfs count="5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 applyAlignment="1">
      <alignment horizontal="left"/>
    </xf>
    <xf numFmtId="0" fontId="3" fillId="0" borderId="0" xfId="1" applyFont="1" applyAlignment="1">
      <alignment horizontal="left"/>
    </xf>
    <xf numFmtId="0" fontId="4" fillId="0" borderId="0" xfId="0" applyFont="1"/>
    <xf numFmtId="0" fontId="4" fillId="0" borderId="0" xfId="0" applyFont="1" applyBorder="1" applyAlignment="1">
      <alignment horizontal="left"/>
    </xf>
    <xf numFmtId="4" fontId="0" fillId="0" borderId="0" xfId="0" applyNumberFormat="1"/>
    <xf numFmtId="0" fontId="4" fillId="0" borderId="0" xfId="0" applyFont="1" applyAlignment="1">
      <alignment horizontal="right"/>
    </xf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5" fillId="2" borderId="3" xfId="0" applyFont="1" applyFill="1" applyBorder="1" applyAlignment="1">
      <alignment horizontal="right"/>
    </xf>
    <xf numFmtId="4" fontId="0" fillId="0" borderId="0" xfId="0" applyNumberFormat="1" applyBorder="1"/>
    <xf numFmtId="4" fontId="0" fillId="0" borderId="0" xfId="0" applyNumberFormat="1" applyBorder="1" applyAlignment="1">
      <alignment horizontal="right"/>
    </xf>
    <xf numFmtId="0" fontId="1" fillId="0" borderId="5" xfId="0" applyFont="1" applyBorder="1"/>
    <xf numFmtId="4" fontId="0" fillId="0" borderId="1" xfId="0" applyNumberFormat="1" applyBorder="1"/>
    <xf numFmtId="4" fontId="0" fillId="0" borderId="2" xfId="0" applyNumberFormat="1" applyBorder="1"/>
    <xf numFmtId="4" fontId="0" fillId="0" borderId="5" xfId="0" applyNumberFormat="1" applyBorder="1"/>
    <xf numFmtId="0" fontId="0" fillId="0" borderId="0" xfId="0" applyBorder="1"/>
    <xf numFmtId="0" fontId="0" fillId="0" borderId="1" xfId="0" applyBorder="1"/>
    <xf numFmtId="0" fontId="5" fillId="2" borderId="4" xfId="0" applyFont="1" applyFill="1" applyBorder="1" applyAlignment="1">
      <alignment horizontal="right"/>
    </xf>
    <xf numFmtId="0" fontId="0" fillId="0" borderId="2" xfId="0" applyBorder="1"/>
    <xf numFmtId="0" fontId="0" fillId="0" borderId="5" xfId="0" applyBorder="1"/>
    <xf numFmtId="0" fontId="7" fillId="0" borderId="0" xfId="0" applyFont="1"/>
    <xf numFmtId="0" fontId="8" fillId="0" borderId="0" xfId="0" applyFont="1"/>
    <xf numFmtId="0" fontId="6" fillId="2" borderId="4" xfId="0" applyFont="1" applyFill="1" applyBorder="1"/>
    <xf numFmtId="0" fontId="1" fillId="0" borderId="0" xfId="0" applyFont="1" applyBorder="1"/>
    <xf numFmtId="0" fontId="8" fillId="0" borderId="0" xfId="0" applyFont="1" applyFill="1" applyBorder="1"/>
    <xf numFmtId="0" fontId="1" fillId="0" borderId="2" xfId="0" applyFont="1" applyFill="1" applyBorder="1"/>
    <xf numFmtId="3" fontId="0" fillId="0" borderId="0" xfId="0" applyNumberFormat="1" applyBorder="1"/>
    <xf numFmtId="3" fontId="0" fillId="0" borderId="2" xfId="0" applyNumberFormat="1" applyBorder="1"/>
    <xf numFmtId="3" fontId="0" fillId="0" borderId="1" xfId="0" applyNumberFormat="1" applyBorder="1"/>
    <xf numFmtId="3" fontId="0" fillId="0" borderId="5" xfId="0" applyNumberFormat="1" applyBorder="1"/>
    <xf numFmtId="0" fontId="11" fillId="2" borderId="4" xfId="0" applyFont="1" applyFill="1" applyBorder="1"/>
    <xf numFmtId="0" fontId="11" fillId="2" borderId="3" xfId="0" applyFont="1" applyFill="1" applyBorder="1" applyAlignment="1">
      <alignment horizontal="right"/>
    </xf>
    <xf numFmtId="0" fontId="11" fillId="2" borderId="4" xfId="0" applyFont="1" applyFill="1" applyBorder="1" applyAlignment="1">
      <alignment horizontal="right"/>
    </xf>
    <xf numFmtId="0" fontId="7" fillId="0" borderId="0" xfId="0" applyFont="1" applyFill="1" applyBorder="1"/>
    <xf numFmtId="3" fontId="0" fillId="0" borderId="0" xfId="0" applyNumberFormat="1" applyFill="1" applyBorder="1"/>
    <xf numFmtId="3" fontId="0" fillId="0" borderId="2" xfId="0" applyNumberFormat="1" applyFill="1" applyBorder="1"/>
    <xf numFmtId="0" fontId="1" fillId="3" borderId="5" xfId="0" applyFont="1" applyFill="1" applyBorder="1"/>
    <xf numFmtId="10" fontId="0" fillId="3" borderId="1" xfId="2" applyNumberFormat="1" applyFont="1" applyFill="1" applyBorder="1"/>
    <xf numFmtId="10" fontId="0" fillId="3" borderId="5" xfId="2" applyNumberFormat="1" applyFont="1" applyFill="1" applyBorder="1"/>
    <xf numFmtId="164" fontId="0" fillId="3" borderId="1" xfId="0" applyNumberFormat="1" applyFill="1" applyBorder="1"/>
    <xf numFmtId="164" fontId="0" fillId="3" borderId="5" xfId="0" applyNumberFormat="1" applyFill="1" applyBorder="1"/>
    <xf numFmtId="2" fontId="0" fillId="3" borderId="1" xfId="0" applyNumberFormat="1" applyFont="1" applyFill="1" applyBorder="1"/>
    <xf numFmtId="2" fontId="0" fillId="3" borderId="5" xfId="0" applyNumberFormat="1" applyFont="1" applyFill="1" applyBorder="1"/>
    <xf numFmtId="0" fontId="1" fillId="3" borderId="5" xfId="0" applyFont="1" applyFill="1" applyBorder="1" applyAlignment="1">
      <alignment wrapText="1"/>
    </xf>
    <xf numFmtId="2" fontId="0" fillId="3" borderId="1" xfId="0" applyNumberFormat="1" applyFill="1" applyBorder="1"/>
    <xf numFmtId="2" fontId="0" fillId="3" borderId="5" xfId="0" applyNumberFormat="1" applyFill="1" applyBorder="1"/>
    <xf numFmtId="0" fontId="0" fillId="3" borderId="5" xfId="0" applyFill="1" applyBorder="1"/>
    <xf numFmtId="10" fontId="0" fillId="3" borderId="1" xfId="0" applyNumberFormat="1" applyFill="1" applyBorder="1"/>
    <xf numFmtId="10" fontId="0" fillId="3" borderId="5" xfId="0" applyNumberFormat="1" applyFill="1" applyBorder="1"/>
    <xf numFmtId="0" fontId="6" fillId="2" borderId="6" xfId="0" applyFont="1" applyFill="1" applyBorder="1"/>
    <xf numFmtId="0" fontId="1" fillId="0" borderId="7" xfId="0" applyFont="1" applyBorder="1"/>
    <xf numFmtId="0" fontId="1" fillId="3" borderId="8" xfId="0" applyFont="1" applyFill="1" applyBorder="1"/>
    <xf numFmtId="0" fontId="10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ukeghosh.study@gmail.com" TargetMode="External"/><Relationship Id="rId2" Type="http://schemas.openxmlformats.org/officeDocument/2006/relationships/hyperlink" Target="mailto:divyanshsahai11@gmail.com" TargetMode="External"/><Relationship Id="rId1" Type="http://schemas.openxmlformats.org/officeDocument/2006/relationships/hyperlink" Target="mailto:divyansh_eco26@iift.edu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>
      <selection activeCell="B5" sqref="B5"/>
    </sheetView>
  </sheetViews>
  <sheetFormatPr defaultRowHeight="15" x14ac:dyDescent="0.25"/>
  <cols>
    <col min="1" max="1" width="31.85546875" style="1" customWidth="1"/>
    <col min="2" max="2" width="105" style="2" customWidth="1"/>
  </cols>
  <sheetData>
    <row r="1" spans="1:2" ht="15.75" x14ac:dyDescent="0.25">
      <c r="A1" s="5" t="s">
        <v>17</v>
      </c>
    </row>
    <row r="2" spans="1:2" x14ac:dyDescent="0.25">
      <c r="A2"/>
      <c r="B2"/>
    </row>
    <row r="3" spans="1:2" x14ac:dyDescent="0.25">
      <c r="A3" s="1" t="s">
        <v>1</v>
      </c>
      <c r="B3" s="2" t="s">
        <v>0</v>
      </c>
    </row>
    <row r="4" spans="1:2" x14ac:dyDescent="0.25">
      <c r="A4" s="1" t="s">
        <v>2</v>
      </c>
      <c r="B4" s="2" t="s">
        <v>3</v>
      </c>
    </row>
    <row r="5" spans="1:2" x14ac:dyDescent="0.25">
      <c r="A5" s="1" t="s">
        <v>4</v>
      </c>
      <c r="B5" s="2" t="s">
        <v>5</v>
      </c>
    </row>
    <row r="6" spans="1:2" x14ac:dyDescent="0.25">
      <c r="A6" s="1" t="s">
        <v>6</v>
      </c>
      <c r="B6" s="2" t="s">
        <v>19</v>
      </c>
    </row>
    <row r="7" spans="1:2" x14ac:dyDescent="0.25">
      <c r="A7" s="1" t="s">
        <v>7</v>
      </c>
      <c r="B7" s="2" t="s">
        <v>8</v>
      </c>
    </row>
    <row r="8" spans="1:2" x14ac:dyDescent="0.25">
      <c r="A8" s="1" t="s">
        <v>9</v>
      </c>
      <c r="B8" s="2" t="s">
        <v>28</v>
      </c>
    </row>
    <row r="9" spans="1:2" x14ac:dyDescent="0.25">
      <c r="A9" s="1" t="s">
        <v>13</v>
      </c>
      <c r="B9" s="3" t="s">
        <v>14</v>
      </c>
    </row>
    <row r="10" spans="1:2" x14ac:dyDescent="0.25">
      <c r="A10" s="1" t="s">
        <v>15</v>
      </c>
      <c r="B10" s="3" t="s">
        <v>16</v>
      </c>
    </row>
    <row r="12" spans="1:2" ht="15.75" x14ac:dyDescent="0.25">
      <c r="A12" s="5" t="s">
        <v>18</v>
      </c>
      <c r="B12" s="4"/>
    </row>
    <row r="14" spans="1:2" x14ac:dyDescent="0.25">
      <c r="A14" s="1" t="s">
        <v>1</v>
      </c>
      <c r="B14" s="2" t="s">
        <v>11</v>
      </c>
    </row>
    <row r="15" spans="1:2" x14ac:dyDescent="0.25">
      <c r="A15" s="1" t="s">
        <v>10</v>
      </c>
      <c r="B15" s="3" t="s">
        <v>12</v>
      </c>
    </row>
    <row r="19" spans="2:2" x14ac:dyDescent="0.25">
      <c r="B19" s="3"/>
    </row>
    <row r="20" spans="2:2" x14ac:dyDescent="0.25">
      <c r="B20" s="3"/>
    </row>
  </sheetData>
  <hyperlinks>
    <hyperlink ref="B9" r:id="rId1"/>
    <hyperlink ref="B10" r:id="rId2"/>
    <hyperlink ref="B15" r:id="rId3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topLeftCell="A25" zoomScaleNormal="100" workbookViewId="0">
      <selection sqref="A1:G1"/>
    </sheetView>
  </sheetViews>
  <sheetFormatPr defaultRowHeight="15" x14ac:dyDescent="0.25"/>
  <cols>
    <col min="1" max="1" width="44.140625" style="1" customWidth="1"/>
    <col min="2" max="2" width="13.5703125" customWidth="1"/>
    <col min="3" max="3" width="13.7109375" customWidth="1"/>
    <col min="4" max="4" width="13.85546875" customWidth="1"/>
    <col min="5" max="7" width="13.7109375" customWidth="1"/>
  </cols>
  <sheetData>
    <row r="1" spans="1:18" s="6" customFormat="1" ht="21" x14ac:dyDescent="0.35">
      <c r="A1" s="55" t="s">
        <v>36</v>
      </c>
      <c r="B1" s="55"/>
      <c r="C1" s="55"/>
      <c r="D1" s="55"/>
      <c r="E1" s="55"/>
      <c r="F1" s="55"/>
      <c r="G1" s="55"/>
    </row>
    <row r="2" spans="1:18" s="5" customFormat="1" ht="15.75" x14ac:dyDescent="0.25">
      <c r="A2" s="33" t="s">
        <v>54</v>
      </c>
      <c r="B2" s="34" t="s">
        <v>48</v>
      </c>
      <c r="C2" s="34" t="s">
        <v>49</v>
      </c>
      <c r="D2" s="34" t="s">
        <v>50</v>
      </c>
      <c r="E2" s="34" t="s">
        <v>51</v>
      </c>
      <c r="F2" s="34" t="s">
        <v>52</v>
      </c>
      <c r="G2" s="35" t="s">
        <v>53</v>
      </c>
    </row>
    <row r="3" spans="1:18" x14ac:dyDescent="0.25">
      <c r="A3" s="10" t="s">
        <v>20</v>
      </c>
      <c r="B3" s="12">
        <v>49733.53</v>
      </c>
      <c r="C3" s="12">
        <v>53311.68</v>
      </c>
      <c r="D3" s="12">
        <v>61530.91</v>
      </c>
      <c r="E3" s="13">
        <v>66594.559999999998</v>
      </c>
      <c r="F3" s="12">
        <v>70825.86</v>
      </c>
      <c r="G3" s="16">
        <v>77623.210000000006</v>
      </c>
    </row>
    <row r="4" spans="1:18" x14ac:dyDescent="0.25">
      <c r="A4" s="9" t="s">
        <v>31</v>
      </c>
      <c r="B4" s="12">
        <v>49733.53</v>
      </c>
      <c r="C4" s="12">
        <v>53311.68</v>
      </c>
      <c r="D4" s="12">
        <v>61530.91</v>
      </c>
      <c r="E4" s="12">
        <v>66594.559999999998</v>
      </c>
      <c r="F4" s="12">
        <v>70825.86</v>
      </c>
      <c r="G4" s="16">
        <v>77623.210000000006</v>
      </c>
    </row>
    <row r="5" spans="1:18" x14ac:dyDescent="0.25">
      <c r="A5" s="9" t="s">
        <v>32</v>
      </c>
      <c r="B5" s="12">
        <v>5296.06</v>
      </c>
      <c r="C5" s="12">
        <v>5842.47</v>
      </c>
      <c r="D5" s="12">
        <v>6585.7</v>
      </c>
      <c r="E5" s="12">
        <v>7457.21</v>
      </c>
      <c r="F5" s="12">
        <v>8401.43</v>
      </c>
      <c r="G5" s="16">
        <v>9466.61</v>
      </c>
    </row>
    <row r="6" spans="1:18" ht="15.75" x14ac:dyDescent="0.25">
      <c r="A6" s="9" t="s">
        <v>21</v>
      </c>
      <c r="B6" s="12">
        <v>40832.49</v>
      </c>
      <c r="C6" s="12">
        <v>44537.36</v>
      </c>
      <c r="D6" s="12">
        <v>47689.67</v>
      </c>
      <c r="E6" s="12">
        <v>52397.85</v>
      </c>
      <c r="F6" s="12">
        <v>55656.639999999999</v>
      </c>
      <c r="G6" s="16">
        <v>63525.95</v>
      </c>
      <c r="M6" s="8"/>
      <c r="N6" s="8"/>
      <c r="O6" s="8"/>
      <c r="P6" s="8"/>
      <c r="Q6" s="8"/>
      <c r="R6" s="8"/>
    </row>
    <row r="7" spans="1:18" x14ac:dyDescent="0.25">
      <c r="A7" s="9" t="s">
        <v>22</v>
      </c>
      <c r="B7" s="12">
        <v>10196.950000000001</v>
      </c>
      <c r="C7" s="13">
        <v>12981.43</v>
      </c>
      <c r="D7" s="12">
        <v>15529.36</v>
      </c>
      <c r="E7" s="12">
        <v>15656.89</v>
      </c>
      <c r="F7" s="12">
        <v>17050.150000000001</v>
      </c>
      <c r="G7" s="16">
        <v>18118.88</v>
      </c>
    </row>
    <row r="8" spans="1:18" x14ac:dyDescent="0.25">
      <c r="A8" s="9" t="s">
        <v>33</v>
      </c>
      <c r="B8" s="12">
        <v>34576.17</v>
      </c>
      <c r="C8" s="12">
        <v>37020.54</v>
      </c>
      <c r="D8" s="13">
        <v>41156.01</v>
      </c>
      <c r="E8" s="12">
        <v>43970.8</v>
      </c>
      <c r="F8" s="13">
        <v>46481.47</v>
      </c>
      <c r="G8" s="16">
        <v>53066.36</v>
      </c>
    </row>
    <row r="9" spans="1:18" x14ac:dyDescent="0.25">
      <c r="A9" s="9" t="s">
        <v>29</v>
      </c>
      <c r="B9" s="12">
        <v>33927.440000000002</v>
      </c>
      <c r="C9" s="12">
        <v>36157.83</v>
      </c>
      <c r="D9" s="12">
        <v>40358.47</v>
      </c>
      <c r="E9" s="12">
        <v>43053.35</v>
      </c>
      <c r="F9" s="12">
        <v>45525.72</v>
      </c>
      <c r="G9" s="16">
        <v>52081.25</v>
      </c>
    </row>
    <row r="10" spans="1:18" x14ac:dyDescent="0.25">
      <c r="A10" s="9" t="s">
        <v>34</v>
      </c>
      <c r="B10" s="12">
        <v>2032.4</v>
      </c>
      <c r="C10" s="13">
        <v>1345.69</v>
      </c>
      <c r="D10" s="12">
        <v>5311.82</v>
      </c>
      <c r="E10" s="12">
        <v>4688.09</v>
      </c>
      <c r="F10" s="12">
        <v>4724.1499999999996</v>
      </c>
      <c r="G10" s="16">
        <v>2169.41</v>
      </c>
    </row>
    <row r="11" spans="1:18" x14ac:dyDescent="0.25">
      <c r="A11" s="9" t="s">
        <v>35</v>
      </c>
      <c r="B11" s="12">
        <v>1572.57</v>
      </c>
      <c r="C11" s="12">
        <v>1586.14</v>
      </c>
      <c r="D11" s="12">
        <v>1943.71</v>
      </c>
      <c r="E11" s="12">
        <v>2051.4</v>
      </c>
      <c r="F11" s="12">
        <v>2043.63</v>
      </c>
      <c r="G11" s="16">
        <v>2461.23</v>
      </c>
    </row>
    <row r="12" spans="1:18" x14ac:dyDescent="0.25">
      <c r="A12" s="14" t="s">
        <v>30</v>
      </c>
      <c r="B12" s="15">
        <v>9116.7800000000007</v>
      </c>
      <c r="C12" s="15">
        <v>9435.94</v>
      </c>
      <c r="D12" s="15">
        <v>12221.22</v>
      </c>
      <c r="E12" s="15">
        <v>14332.62</v>
      </c>
      <c r="F12" s="15">
        <v>15664.11</v>
      </c>
      <c r="G12" s="17">
        <v>17336.14</v>
      </c>
    </row>
    <row r="13" spans="1:18" x14ac:dyDescent="0.25">
      <c r="B13" s="7"/>
      <c r="C13" s="7"/>
      <c r="D13" s="7"/>
      <c r="E13" s="7"/>
      <c r="F13" s="7"/>
      <c r="G13" s="7"/>
    </row>
    <row r="15" spans="1:18" ht="21" x14ac:dyDescent="0.35">
      <c r="A15" s="55" t="s">
        <v>56</v>
      </c>
      <c r="B15" s="55"/>
      <c r="C15" s="55"/>
      <c r="D15" s="55"/>
      <c r="E15" s="55"/>
      <c r="F15" s="55"/>
      <c r="G15" s="55"/>
    </row>
    <row r="16" spans="1:18" s="5" customFormat="1" ht="15.75" x14ac:dyDescent="0.25">
      <c r="A16" s="33" t="s">
        <v>54</v>
      </c>
      <c r="B16" s="34" t="s">
        <v>48</v>
      </c>
      <c r="C16" s="34" t="s">
        <v>49</v>
      </c>
      <c r="D16" s="34" t="s">
        <v>50</v>
      </c>
      <c r="E16" s="34" t="s">
        <v>51</v>
      </c>
      <c r="F16" s="34" t="s">
        <v>52</v>
      </c>
      <c r="G16" s="35" t="s">
        <v>53</v>
      </c>
    </row>
    <row r="17" spans="1:7" x14ac:dyDescent="0.25">
      <c r="A17" s="9" t="s">
        <v>23</v>
      </c>
      <c r="B17" s="12">
        <v>4168.6000000000004</v>
      </c>
      <c r="C17" s="12">
        <v>4134.68</v>
      </c>
      <c r="D17" s="12">
        <v>4104.7700000000004</v>
      </c>
      <c r="E17" s="12">
        <v>4714.33</v>
      </c>
      <c r="F17" s="12">
        <v>5270.56</v>
      </c>
      <c r="G17" s="16">
        <v>5834.04</v>
      </c>
    </row>
    <row r="18" spans="1:7" x14ac:dyDescent="0.25">
      <c r="A18" s="9" t="s">
        <v>24</v>
      </c>
      <c r="B18" s="12">
        <v>2493.41</v>
      </c>
      <c r="C18" s="12">
        <v>2305.0100000000002</v>
      </c>
      <c r="D18" s="12">
        <v>2188.29</v>
      </c>
      <c r="E18" s="12">
        <v>2551.54</v>
      </c>
      <c r="F18" s="12">
        <v>3147.1</v>
      </c>
      <c r="G18" s="16">
        <v>3518.33</v>
      </c>
    </row>
    <row r="19" spans="1:7" x14ac:dyDescent="0.25">
      <c r="A19" s="9" t="s">
        <v>25</v>
      </c>
      <c r="B19" s="12">
        <v>1675.19</v>
      </c>
      <c r="C19" s="12">
        <v>1829.67</v>
      </c>
      <c r="D19" s="12">
        <v>1916.48</v>
      </c>
      <c r="E19" s="12">
        <v>2162.79</v>
      </c>
      <c r="F19" s="12">
        <v>2123.46</v>
      </c>
      <c r="G19" s="16">
        <v>2315.71</v>
      </c>
    </row>
    <row r="20" spans="1:7" x14ac:dyDescent="0.25">
      <c r="A20" s="9" t="s">
        <v>26</v>
      </c>
      <c r="B20" s="18">
        <v>679.94</v>
      </c>
      <c r="C20" s="18">
        <v>704.76</v>
      </c>
      <c r="D20" s="12">
        <v>759.08</v>
      </c>
      <c r="E20" s="12">
        <v>810.36</v>
      </c>
      <c r="F20" s="12">
        <v>741.65</v>
      </c>
      <c r="G20" s="16">
        <v>898.06</v>
      </c>
    </row>
    <row r="21" spans="1:7" x14ac:dyDescent="0.25">
      <c r="A21" s="9" t="s">
        <v>37</v>
      </c>
      <c r="B21" s="12">
        <v>2355.13</v>
      </c>
      <c r="C21" s="12">
        <v>2534.4299999999998</v>
      </c>
      <c r="D21" s="12">
        <v>2675.56</v>
      </c>
      <c r="E21" s="12">
        <v>2973.15</v>
      </c>
      <c r="F21" s="12">
        <v>2865.11</v>
      </c>
      <c r="G21" s="16">
        <v>3213.77</v>
      </c>
    </row>
    <row r="22" spans="1:7" x14ac:dyDescent="0.25">
      <c r="A22" s="9" t="s">
        <v>27</v>
      </c>
      <c r="B22" s="12">
        <v>1013.74</v>
      </c>
      <c r="C22" s="12">
        <v>1050.5899999999999</v>
      </c>
      <c r="D22" s="12">
        <v>1080.26</v>
      </c>
      <c r="E22" s="12">
        <v>1155.17</v>
      </c>
      <c r="F22" s="12">
        <v>1348.38</v>
      </c>
      <c r="G22" s="16">
        <v>1535.15</v>
      </c>
    </row>
    <row r="23" spans="1:7" x14ac:dyDescent="0.25">
      <c r="A23" s="9" t="s">
        <v>38</v>
      </c>
      <c r="B23" s="18">
        <v>1341.4</v>
      </c>
      <c r="C23" s="12">
        <v>1483.84</v>
      </c>
      <c r="D23" s="12">
        <v>1595.3</v>
      </c>
      <c r="E23" s="12">
        <v>1817.98</v>
      </c>
      <c r="F23" s="12">
        <v>1516.73</v>
      </c>
      <c r="G23" s="16">
        <v>1678.62</v>
      </c>
    </row>
    <row r="24" spans="1:7" x14ac:dyDescent="0.25">
      <c r="A24" s="14" t="s">
        <v>39</v>
      </c>
      <c r="B24" s="19">
        <v>476.31</v>
      </c>
      <c r="C24" s="15">
        <v>592.82000000000005</v>
      </c>
      <c r="D24" s="15">
        <v>760.16</v>
      </c>
      <c r="E24" s="15">
        <v>937.48</v>
      </c>
      <c r="F24" s="15">
        <v>1015.73</v>
      </c>
      <c r="G24" s="17">
        <v>1123.6199999999999</v>
      </c>
    </row>
    <row r="25" spans="1:7" x14ac:dyDescent="0.25">
      <c r="C25" s="7"/>
      <c r="D25" s="7"/>
      <c r="E25" s="7"/>
      <c r="F25" s="7"/>
      <c r="G25" s="7"/>
    </row>
    <row r="27" spans="1:7" ht="21" customHeight="1" x14ac:dyDescent="0.35">
      <c r="A27" s="55" t="s">
        <v>40</v>
      </c>
      <c r="B27" s="55"/>
      <c r="C27" s="55"/>
      <c r="D27" s="55"/>
      <c r="E27" s="55"/>
      <c r="F27" s="55"/>
      <c r="G27" s="55"/>
    </row>
    <row r="28" spans="1:7" s="5" customFormat="1" ht="15.75" x14ac:dyDescent="0.25">
      <c r="A28" s="33" t="s">
        <v>54</v>
      </c>
      <c r="B28" s="34" t="s">
        <v>48</v>
      </c>
      <c r="C28" s="34" t="s">
        <v>49</v>
      </c>
      <c r="D28" s="34" t="s">
        <v>50</v>
      </c>
      <c r="E28" s="34" t="s">
        <v>51</v>
      </c>
      <c r="F28" s="34" t="s">
        <v>52</v>
      </c>
      <c r="G28" s="35" t="s">
        <v>53</v>
      </c>
    </row>
    <row r="29" spans="1:7" x14ac:dyDescent="0.25">
      <c r="A29" s="9" t="s">
        <v>46</v>
      </c>
      <c r="B29" s="12">
        <v>1413.4</v>
      </c>
      <c r="C29" s="12">
        <v>1893.19</v>
      </c>
      <c r="D29" s="12">
        <v>1933.18</v>
      </c>
      <c r="E29" s="12">
        <v>1920.16</v>
      </c>
      <c r="F29" s="12">
        <v>1854.43</v>
      </c>
      <c r="G29" s="16">
        <v>1638.17</v>
      </c>
    </row>
    <row r="30" spans="1:7" x14ac:dyDescent="0.25">
      <c r="A30" s="9" t="s">
        <v>47</v>
      </c>
      <c r="B30" s="18">
        <v>778.49</v>
      </c>
      <c r="C30" s="12">
        <v>1075.19</v>
      </c>
      <c r="D30" s="12">
        <v>1191.0999999999999</v>
      </c>
      <c r="E30" s="12">
        <v>1017.63</v>
      </c>
      <c r="F30" s="12">
        <v>898.68</v>
      </c>
      <c r="G30" s="16">
        <v>653.07000000000005</v>
      </c>
    </row>
    <row r="31" spans="1:7" x14ac:dyDescent="0.25">
      <c r="A31" s="9" t="s">
        <v>94</v>
      </c>
      <c r="B31" s="18">
        <v>373.85</v>
      </c>
      <c r="C31" s="12">
        <v>411.87</v>
      </c>
      <c r="D31" s="12">
        <v>629.41999999999996</v>
      </c>
      <c r="E31" s="12">
        <v>529.54999999999995</v>
      </c>
      <c r="F31" s="12">
        <v>263.45999999999998</v>
      </c>
      <c r="G31" s="16">
        <v>196.78</v>
      </c>
    </row>
    <row r="32" spans="1:7" x14ac:dyDescent="0.25">
      <c r="A32" s="9" t="s">
        <v>93</v>
      </c>
      <c r="B32" s="18">
        <v>164.29</v>
      </c>
      <c r="C32" s="12">
        <v>195</v>
      </c>
      <c r="D32" s="12">
        <v>442.49</v>
      </c>
      <c r="E32" s="12">
        <v>576.34</v>
      </c>
      <c r="F32" s="12">
        <v>505.4</v>
      </c>
      <c r="G32" s="16">
        <v>581.54</v>
      </c>
    </row>
    <row r="33" spans="1:7" x14ac:dyDescent="0.25">
      <c r="A33" s="14" t="s">
        <v>41</v>
      </c>
      <c r="B33" s="19">
        <v>630.87</v>
      </c>
      <c r="C33" s="19">
        <v>818</v>
      </c>
      <c r="D33" s="19">
        <v>742.08</v>
      </c>
      <c r="E33" s="19">
        <v>902.53</v>
      </c>
      <c r="F33" s="19">
        <v>933.5</v>
      </c>
      <c r="G33" s="22">
        <v>966.75</v>
      </c>
    </row>
    <row r="36" spans="1:7" ht="21" x14ac:dyDescent="0.35">
      <c r="A36" s="55" t="s">
        <v>42</v>
      </c>
      <c r="B36" s="56"/>
      <c r="C36" s="56"/>
      <c r="D36" s="56"/>
      <c r="E36" s="56"/>
      <c r="F36" s="56"/>
      <c r="G36" s="56"/>
    </row>
    <row r="37" spans="1:7" s="5" customFormat="1" ht="15.75" x14ac:dyDescent="0.25">
      <c r="A37" s="33" t="s">
        <v>55</v>
      </c>
      <c r="B37" s="34" t="s">
        <v>48</v>
      </c>
      <c r="C37" s="34" t="s">
        <v>49</v>
      </c>
      <c r="D37" s="34" t="s">
        <v>50</v>
      </c>
      <c r="E37" s="34" t="s">
        <v>51</v>
      </c>
      <c r="F37" s="34" t="s">
        <v>52</v>
      </c>
      <c r="G37" s="35" t="s">
        <v>53</v>
      </c>
    </row>
    <row r="38" spans="1:7" x14ac:dyDescent="0.25">
      <c r="A38" s="9" t="s">
        <v>43</v>
      </c>
      <c r="B38" s="18">
        <v>16.760000000000002</v>
      </c>
      <c r="C38" s="18">
        <v>19.52</v>
      </c>
      <c r="D38" s="18">
        <v>20.85</v>
      </c>
      <c r="E38" s="18">
        <v>22.34</v>
      </c>
      <c r="F38" s="18">
        <v>23.73</v>
      </c>
      <c r="G38" s="21">
        <v>23.75</v>
      </c>
    </row>
    <row r="39" spans="1:7" x14ac:dyDescent="0.25">
      <c r="A39" s="9" t="s">
        <v>44</v>
      </c>
      <c r="B39" s="18">
        <v>15.8</v>
      </c>
      <c r="C39" s="18">
        <v>18.45</v>
      </c>
      <c r="D39" s="18">
        <v>19.78</v>
      </c>
      <c r="E39" s="18">
        <v>21.27</v>
      </c>
      <c r="F39" s="18">
        <v>22.69</v>
      </c>
      <c r="G39" s="21">
        <v>22.7</v>
      </c>
    </row>
    <row r="40" spans="1:7" x14ac:dyDescent="0.25">
      <c r="A40" s="14" t="s">
        <v>45</v>
      </c>
      <c r="B40" s="19">
        <v>0.96</v>
      </c>
      <c r="C40" s="19">
        <v>1.07</v>
      </c>
      <c r="D40" s="19">
        <v>1.07</v>
      </c>
      <c r="E40" s="19">
        <v>1.07</v>
      </c>
      <c r="F40" s="19">
        <v>1.04</v>
      </c>
      <c r="G40" s="22">
        <v>1.05</v>
      </c>
    </row>
    <row r="41" spans="1:7" x14ac:dyDescent="0.25">
      <c r="A41" s="26"/>
      <c r="B41" s="18"/>
      <c r="C41" s="18"/>
      <c r="D41" s="18"/>
      <c r="E41" s="18"/>
      <c r="F41" s="18"/>
      <c r="G41" s="18"/>
    </row>
    <row r="43" spans="1:7" ht="21" x14ac:dyDescent="0.35">
      <c r="A43" s="55" t="s">
        <v>79</v>
      </c>
      <c r="B43" s="55"/>
      <c r="C43" s="55"/>
      <c r="D43" s="55"/>
      <c r="E43" s="55"/>
      <c r="F43" s="55"/>
      <c r="G43" s="55"/>
    </row>
    <row r="44" spans="1:7" ht="15.75" x14ac:dyDescent="0.25">
      <c r="A44" s="33" t="s">
        <v>55</v>
      </c>
      <c r="B44" s="34" t="s">
        <v>48</v>
      </c>
      <c r="C44" s="34" t="s">
        <v>49</v>
      </c>
      <c r="D44" s="34" t="s">
        <v>50</v>
      </c>
      <c r="E44" s="34" t="s">
        <v>51</v>
      </c>
      <c r="F44" s="34" t="s">
        <v>52</v>
      </c>
      <c r="G44" s="35" t="s">
        <v>53</v>
      </c>
    </row>
    <row r="45" spans="1:7" x14ac:dyDescent="0.25">
      <c r="A45" s="14" t="s">
        <v>77</v>
      </c>
      <c r="B45" s="31">
        <v>5741</v>
      </c>
      <c r="C45" s="31">
        <v>5843</v>
      </c>
      <c r="D45" s="31">
        <v>5367</v>
      </c>
      <c r="E45" s="31">
        <v>6019</v>
      </c>
      <c r="F45" s="31">
        <v>7188</v>
      </c>
      <c r="G45" s="32">
        <v>7605</v>
      </c>
    </row>
  </sheetData>
  <mergeCells count="5">
    <mergeCell ref="A1:G1"/>
    <mergeCell ref="A15:G15"/>
    <mergeCell ref="A27:G27"/>
    <mergeCell ref="A36:G36"/>
    <mergeCell ref="A43:G4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topLeftCell="A58" workbookViewId="0"/>
  </sheetViews>
  <sheetFormatPr defaultRowHeight="15" x14ac:dyDescent="0.25"/>
  <cols>
    <col min="1" max="1" width="64.7109375" customWidth="1"/>
    <col min="2" max="7" width="13.7109375" customWidth="1"/>
  </cols>
  <sheetData>
    <row r="1" spans="1:7" ht="21" x14ac:dyDescent="0.35">
      <c r="A1" s="23" t="s">
        <v>60</v>
      </c>
    </row>
    <row r="3" spans="1:7" ht="18.75" x14ac:dyDescent="0.3">
      <c r="A3" s="24" t="s">
        <v>59</v>
      </c>
    </row>
    <row r="4" spans="1:7" ht="15.75" x14ac:dyDescent="0.25">
      <c r="A4" s="25" t="s">
        <v>57</v>
      </c>
      <c r="B4" s="11" t="s">
        <v>48</v>
      </c>
      <c r="C4" s="11" t="s">
        <v>49</v>
      </c>
      <c r="D4" s="11" t="s">
        <v>50</v>
      </c>
      <c r="E4" s="11" t="s">
        <v>51</v>
      </c>
      <c r="F4" s="11" t="s">
        <v>52</v>
      </c>
      <c r="G4" s="20" t="s">
        <v>53</v>
      </c>
    </row>
    <row r="5" spans="1:7" x14ac:dyDescent="0.25">
      <c r="A5" s="9" t="s">
        <v>39</v>
      </c>
      <c r="B5" s="18">
        <v>476.31</v>
      </c>
      <c r="C5" s="12">
        <v>592.82000000000005</v>
      </c>
      <c r="D5" s="12">
        <v>760.16</v>
      </c>
      <c r="E5" s="12">
        <v>937.48</v>
      </c>
      <c r="F5" s="12">
        <v>1015.73</v>
      </c>
      <c r="G5" s="16">
        <v>1123.6199999999999</v>
      </c>
    </row>
    <row r="6" spans="1:7" x14ac:dyDescent="0.25">
      <c r="A6" s="9" t="s">
        <v>20</v>
      </c>
      <c r="B6" s="12">
        <v>49733.53</v>
      </c>
      <c r="C6" s="12">
        <v>53311.68</v>
      </c>
      <c r="D6" s="12">
        <v>61530.91</v>
      </c>
      <c r="E6" s="13">
        <v>66594.559999999998</v>
      </c>
      <c r="F6" s="12">
        <v>70825.86</v>
      </c>
      <c r="G6" s="16">
        <v>77623.210000000006</v>
      </c>
    </row>
    <row r="7" spans="1:7" x14ac:dyDescent="0.25">
      <c r="A7" s="39" t="s">
        <v>63</v>
      </c>
      <c r="B7" s="40">
        <f>B5/B6</f>
        <v>9.5772409479077808E-3</v>
      </c>
      <c r="C7" s="40">
        <f t="shared" ref="C7:G7" si="0">C5/C6</f>
        <v>1.1119889675208135E-2</v>
      </c>
      <c r="D7" s="40">
        <f t="shared" si="0"/>
        <v>1.2354116004460196E-2</v>
      </c>
      <c r="E7" s="40">
        <f t="shared" si="0"/>
        <v>1.4077426144117479E-2</v>
      </c>
      <c r="F7" s="40">
        <f t="shared" si="0"/>
        <v>1.4341230731261152E-2</v>
      </c>
      <c r="G7" s="41">
        <f t="shared" si="0"/>
        <v>1.4475309639990408E-2</v>
      </c>
    </row>
    <row r="9" spans="1:7" ht="18.75" x14ac:dyDescent="0.3">
      <c r="A9" s="24" t="s">
        <v>61</v>
      </c>
    </row>
    <row r="10" spans="1:7" ht="15.75" x14ac:dyDescent="0.25">
      <c r="A10" s="25" t="s">
        <v>57</v>
      </c>
      <c r="B10" s="11" t="s">
        <v>48</v>
      </c>
      <c r="C10" s="11" t="s">
        <v>49</v>
      </c>
      <c r="D10" s="11" t="s">
        <v>50</v>
      </c>
      <c r="E10" s="11" t="s">
        <v>51</v>
      </c>
      <c r="F10" s="11" t="s">
        <v>52</v>
      </c>
      <c r="G10" s="20" t="s">
        <v>53</v>
      </c>
    </row>
    <row r="11" spans="1:7" x14ac:dyDescent="0.25">
      <c r="A11" s="9" t="s">
        <v>39</v>
      </c>
      <c r="B11" s="18">
        <v>476.31</v>
      </c>
      <c r="C11" s="12">
        <v>592.82000000000005</v>
      </c>
      <c r="D11" s="12">
        <v>760.16</v>
      </c>
      <c r="E11" s="12">
        <v>937.48</v>
      </c>
      <c r="F11" s="12">
        <v>1015.73</v>
      </c>
      <c r="G11" s="16">
        <v>1123.6199999999999</v>
      </c>
    </row>
    <row r="12" spans="1:7" x14ac:dyDescent="0.25">
      <c r="A12" s="9" t="s">
        <v>32</v>
      </c>
      <c r="B12" s="12">
        <v>5296.06</v>
      </c>
      <c r="C12" s="12">
        <v>5842.47</v>
      </c>
      <c r="D12" s="12">
        <v>6585.7</v>
      </c>
      <c r="E12" s="12">
        <v>7457.21</v>
      </c>
      <c r="F12" s="12">
        <v>8401.43</v>
      </c>
      <c r="G12" s="16">
        <v>9466.61</v>
      </c>
    </row>
    <row r="13" spans="1:7" x14ac:dyDescent="0.25">
      <c r="A13" s="39" t="s">
        <v>62</v>
      </c>
      <c r="B13" s="40">
        <f>B11/B12</f>
        <v>8.9936669901776026E-2</v>
      </c>
      <c r="C13" s="40">
        <f t="shared" ref="C13:G13" si="1">C11/C12</f>
        <v>0.10146735883966884</v>
      </c>
      <c r="D13" s="40">
        <f t="shared" si="1"/>
        <v>0.11542584691073082</v>
      </c>
      <c r="E13" s="40">
        <f t="shared" si="1"/>
        <v>0.12571457689940341</v>
      </c>
      <c r="F13" s="40">
        <f t="shared" si="1"/>
        <v>0.12089965636802306</v>
      </c>
      <c r="G13" s="41">
        <f t="shared" si="1"/>
        <v>0.11869296400717889</v>
      </c>
    </row>
    <row r="15" spans="1:7" ht="18.75" x14ac:dyDescent="0.3">
      <c r="A15" s="24" t="s">
        <v>64</v>
      </c>
    </row>
    <row r="16" spans="1:7" ht="15.75" x14ac:dyDescent="0.25">
      <c r="A16" s="25" t="s">
        <v>57</v>
      </c>
      <c r="B16" s="11" t="s">
        <v>48</v>
      </c>
      <c r="C16" s="11" t="s">
        <v>49</v>
      </c>
      <c r="D16" s="11" t="s">
        <v>50</v>
      </c>
      <c r="E16" s="11" t="s">
        <v>51</v>
      </c>
      <c r="F16" s="11" t="s">
        <v>52</v>
      </c>
      <c r="G16" s="20" t="s">
        <v>53</v>
      </c>
    </row>
    <row r="17" spans="1:7" x14ac:dyDescent="0.25">
      <c r="A17" s="9" t="s">
        <v>27</v>
      </c>
      <c r="B17" s="12">
        <v>1013.74</v>
      </c>
      <c r="C17" s="12">
        <v>1050.5899999999999</v>
      </c>
      <c r="D17" s="12">
        <v>1080.26</v>
      </c>
      <c r="E17" s="12">
        <v>1155.17</v>
      </c>
      <c r="F17" s="12">
        <v>1348.38</v>
      </c>
      <c r="G17" s="16">
        <v>1535.15</v>
      </c>
    </row>
    <row r="18" spans="1:7" x14ac:dyDescent="0.25">
      <c r="A18" s="9" t="s">
        <v>37</v>
      </c>
      <c r="B18" s="12">
        <v>2355.13</v>
      </c>
      <c r="C18" s="12">
        <v>2534.4299999999998</v>
      </c>
      <c r="D18" s="12">
        <v>2675.56</v>
      </c>
      <c r="E18" s="12">
        <v>2973.15</v>
      </c>
      <c r="F18" s="12">
        <v>2865.11</v>
      </c>
      <c r="G18" s="16">
        <v>3213.77</v>
      </c>
    </row>
    <row r="19" spans="1:7" x14ac:dyDescent="0.25">
      <c r="A19" s="39" t="s">
        <v>69</v>
      </c>
      <c r="B19" s="40">
        <f>(B17/B18)</f>
        <v>0.43043908404206987</v>
      </c>
      <c r="C19" s="40">
        <f t="shared" ref="C19:G19" si="2">(C17/C18)</f>
        <v>0.41452713233350297</v>
      </c>
      <c r="D19" s="40">
        <f t="shared" si="2"/>
        <v>0.40375099044685975</v>
      </c>
      <c r="E19" s="40">
        <f t="shared" si="2"/>
        <v>0.38853404638178363</v>
      </c>
      <c r="F19" s="40">
        <f t="shared" si="2"/>
        <v>0.47062067424985432</v>
      </c>
      <c r="G19" s="41">
        <f t="shared" si="2"/>
        <v>0.47767886314204194</v>
      </c>
    </row>
    <row r="21" spans="1:7" ht="18.75" x14ac:dyDescent="0.3">
      <c r="A21" s="24" t="s">
        <v>73</v>
      </c>
    </row>
    <row r="22" spans="1:7" ht="15.75" x14ac:dyDescent="0.25">
      <c r="A22" s="25" t="s">
        <v>57</v>
      </c>
      <c r="B22" s="11" t="s">
        <v>48</v>
      </c>
      <c r="C22" s="11" t="s">
        <v>49</v>
      </c>
      <c r="D22" s="11" t="s">
        <v>50</v>
      </c>
      <c r="E22" s="11" t="s">
        <v>51</v>
      </c>
      <c r="F22" s="11" t="s">
        <v>52</v>
      </c>
      <c r="G22" s="20" t="s">
        <v>53</v>
      </c>
    </row>
    <row r="23" spans="1:7" x14ac:dyDescent="0.25">
      <c r="A23" s="9" t="s">
        <v>39</v>
      </c>
      <c r="B23" s="18">
        <v>476.31</v>
      </c>
      <c r="C23" s="12">
        <v>592.82000000000005</v>
      </c>
      <c r="D23" s="12">
        <v>760.16</v>
      </c>
      <c r="E23" s="12">
        <v>937.48</v>
      </c>
      <c r="F23" s="12">
        <v>1015.73</v>
      </c>
      <c r="G23" s="16">
        <v>1123.6199999999999</v>
      </c>
    </row>
    <row r="24" spans="1:7" x14ac:dyDescent="0.25">
      <c r="A24" s="9" t="s">
        <v>37</v>
      </c>
      <c r="B24" s="12">
        <v>2355.13</v>
      </c>
      <c r="C24" s="12">
        <v>2534.4299999999998</v>
      </c>
      <c r="D24" s="12">
        <v>2675.56</v>
      </c>
      <c r="E24" s="12">
        <v>2973.15</v>
      </c>
      <c r="F24" s="12">
        <v>2865.11</v>
      </c>
      <c r="G24" s="16">
        <v>3213.77</v>
      </c>
    </row>
    <row r="25" spans="1:7" x14ac:dyDescent="0.25">
      <c r="A25" s="39" t="s">
        <v>74</v>
      </c>
      <c r="B25" s="40">
        <f>(B23/B24)</f>
        <v>0.20224361287911918</v>
      </c>
      <c r="C25" s="40">
        <f t="shared" ref="C25:G25" si="3">(C23/C24)</f>
        <v>0.23390663778443282</v>
      </c>
      <c r="D25" s="40">
        <f t="shared" si="3"/>
        <v>0.28411248486298196</v>
      </c>
      <c r="E25" s="40">
        <f t="shared" si="3"/>
        <v>0.31531540621899334</v>
      </c>
      <c r="F25" s="40">
        <f t="shared" si="3"/>
        <v>0.35451692954197223</v>
      </c>
      <c r="G25" s="41">
        <f t="shared" si="3"/>
        <v>0.34962676233831291</v>
      </c>
    </row>
    <row r="28" spans="1:7" ht="21" x14ac:dyDescent="0.35">
      <c r="A28" s="23" t="s">
        <v>65</v>
      </c>
    </row>
    <row r="30" spans="1:7" ht="18.75" x14ac:dyDescent="0.3">
      <c r="A30" s="24" t="s">
        <v>66</v>
      </c>
    </row>
    <row r="31" spans="1:7" ht="15.75" x14ac:dyDescent="0.25">
      <c r="A31" s="25" t="s">
        <v>57</v>
      </c>
      <c r="B31" s="11" t="s">
        <v>48</v>
      </c>
      <c r="C31" s="11" t="s">
        <v>49</v>
      </c>
      <c r="D31" s="11" t="s">
        <v>50</v>
      </c>
      <c r="E31" s="11" t="s">
        <v>51</v>
      </c>
      <c r="F31" s="11" t="s">
        <v>52</v>
      </c>
      <c r="G31" s="20" t="s">
        <v>53</v>
      </c>
    </row>
    <row r="32" spans="1:7" x14ac:dyDescent="0.25">
      <c r="A32" s="9" t="s">
        <v>46</v>
      </c>
      <c r="B32" s="12">
        <v>1413.4</v>
      </c>
      <c r="C32" s="12">
        <v>1893.19</v>
      </c>
      <c r="D32" s="12">
        <v>1933.18</v>
      </c>
      <c r="E32" s="12">
        <v>1920.16</v>
      </c>
      <c r="F32" s="12">
        <v>1854.43</v>
      </c>
      <c r="G32" s="16">
        <v>1638.17</v>
      </c>
    </row>
    <row r="33" spans="1:7" x14ac:dyDescent="0.25">
      <c r="A33" s="9" t="s">
        <v>58</v>
      </c>
      <c r="B33" s="12">
        <v>34576.17</v>
      </c>
      <c r="C33" s="12">
        <v>37020.54</v>
      </c>
      <c r="D33" s="13">
        <v>41156.01</v>
      </c>
      <c r="E33" s="12">
        <v>43970.8</v>
      </c>
      <c r="F33" s="13">
        <v>46481.47</v>
      </c>
      <c r="G33" s="16">
        <v>53066.36</v>
      </c>
    </row>
    <row r="34" spans="1:7" x14ac:dyDescent="0.25">
      <c r="A34" s="39" t="s">
        <v>70</v>
      </c>
      <c r="B34" s="40">
        <f>B32/B33</f>
        <v>4.0877864725908049E-2</v>
      </c>
      <c r="C34" s="40">
        <f t="shared" ref="C34:G34" si="4">C32/C33</f>
        <v>5.1138908292531662E-2</v>
      </c>
      <c r="D34" s="40">
        <f t="shared" si="4"/>
        <v>4.6971997528429017E-2</v>
      </c>
      <c r="E34" s="40">
        <f t="shared" si="4"/>
        <v>4.3668980323305462E-2</v>
      </c>
      <c r="F34" s="40">
        <f t="shared" si="4"/>
        <v>3.9896113440474237E-2</v>
      </c>
      <c r="G34" s="41">
        <f t="shared" si="4"/>
        <v>3.08702160841633E-2</v>
      </c>
    </row>
    <row r="36" spans="1:7" ht="18.75" x14ac:dyDescent="0.3">
      <c r="A36" s="24" t="s">
        <v>67</v>
      </c>
    </row>
    <row r="37" spans="1:7" ht="15.75" x14ac:dyDescent="0.25">
      <c r="A37" s="25" t="s">
        <v>57</v>
      </c>
      <c r="B37" s="11" t="s">
        <v>48</v>
      </c>
      <c r="C37" s="11" t="s">
        <v>49</v>
      </c>
      <c r="D37" s="11" t="s">
        <v>50</v>
      </c>
      <c r="E37" s="11" t="s">
        <v>51</v>
      </c>
      <c r="F37" s="11" t="s">
        <v>52</v>
      </c>
      <c r="G37" s="20" t="s">
        <v>53</v>
      </c>
    </row>
    <row r="38" spans="1:7" x14ac:dyDescent="0.25">
      <c r="A38" s="9" t="s">
        <v>47</v>
      </c>
      <c r="B38" s="18">
        <v>778.49</v>
      </c>
      <c r="C38" s="12">
        <v>1075.19</v>
      </c>
      <c r="D38" s="12">
        <v>1191.0999999999999</v>
      </c>
      <c r="E38" s="12">
        <v>1017.63</v>
      </c>
      <c r="F38" s="12">
        <v>898.68</v>
      </c>
      <c r="G38" s="16">
        <v>653.07000000000005</v>
      </c>
    </row>
    <row r="39" spans="1:7" x14ac:dyDescent="0.25">
      <c r="A39" s="9" t="s">
        <v>29</v>
      </c>
      <c r="B39" s="12">
        <v>33927.440000000002</v>
      </c>
      <c r="C39" s="12">
        <v>36157.83</v>
      </c>
      <c r="D39" s="12">
        <v>40358.47</v>
      </c>
      <c r="E39" s="12">
        <v>43053.35</v>
      </c>
      <c r="F39" s="12">
        <v>45525.72</v>
      </c>
      <c r="G39" s="16">
        <v>52081.25</v>
      </c>
    </row>
    <row r="40" spans="1:7" x14ac:dyDescent="0.25">
      <c r="A40" s="39" t="s">
        <v>71</v>
      </c>
      <c r="B40" s="40">
        <f>B38/B39</f>
        <v>2.2945733600884709E-2</v>
      </c>
      <c r="C40" s="40">
        <f t="shared" ref="C40:G40" si="5">C38/C39</f>
        <v>2.9736021215874958E-2</v>
      </c>
      <c r="D40" s="40">
        <f t="shared" si="5"/>
        <v>2.9513011766798887E-2</v>
      </c>
      <c r="E40" s="40">
        <f t="shared" si="5"/>
        <v>2.3636488217525467E-2</v>
      </c>
      <c r="F40" s="40">
        <f t="shared" si="5"/>
        <v>1.9740050239732614E-2</v>
      </c>
      <c r="G40" s="41">
        <f t="shared" si="5"/>
        <v>1.2539445577823114E-2</v>
      </c>
    </row>
    <row r="42" spans="1:7" ht="18.75" x14ac:dyDescent="0.3">
      <c r="A42" s="27" t="s">
        <v>68</v>
      </c>
    </row>
    <row r="43" spans="1:7" ht="15.75" x14ac:dyDescent="0.25">
      <c r="A43" s="25" t="s">
        <v>57</v>
      </c>
      <c r="B43" s="11" t="s">
        <v>48</v>
      </c>
      <c r="C43" s="11" t="s">
        <v>49</v>
      </c>
      <c r="D43" s="11" t="s">
        <v>50</v>
      </c>
      <c r="E43" s="11" t="s">
        <v>51</v>
      </c>
      <c r="F43" s="11" t="s">
        <v>52</v>
      </c>
      <c r="G43" s="20" t="s">
        <v>53</v>
      </c>
    </row>
    <row r="44" spans="1:7" x14ac:dyDescent="0.25">
      <c r="A44" s="9" t="s">
        <v>41</v>
      </c>
      <c r="B44" s="18">
        <v>630.87</v>
      </c>
      <c r="C44" s="18">
        <v>818</v>
      </c>
      <c r="D44" s="18">
        <v>742.08</v>
      </c>
      <c r="E44" s="18">
        <v>902.53</v>
      </c>
      <c r="F44" s="18">
        <v>933.5</v>
      </c>
      <c r="G44" s="21">
        <v>966.75</v>
      </c>
    </row>
    <row r="45" spans="1:7" x14ac:dyDescent="0.25">
      <c r="A45" s="9" t="s">
        <v>46</v>
      </c>
      <c r="B45" s="12">
        <v>1413.4</v>
      </c>
      <c r="C45" s="12">
        <v>1893.19</v>
      </c>
      <c r="D45" s="12">
        <v>1933.18</v>
      </c>
      <c r="E45" s="12">
        <v>1920.16</v>
      </c>
      <c r="F45" s="12">
        <v>1854.43</v>
      </c>
      <c r="G45" s="16">
        <v>1638.17</v>
      </c>
    </row>
    <row r="46" spans="1:7" x14ac:dyDescent="0.25">
      <c r="A46" s="39" t="s">
        <v>72</v>
      </c>
      <c r="B46" s="40">
        <f>B44/B45</f>
        <v>0.44634922880996175</v>
      </c>
      <c r="C46" s="40">
        <f t="shared" ref="C46:G46" si="6">C44/C45</f>
        <v>0.43207496342152663</v>
      </c>
      <c r="D46" s="40">
        <f t="shared" si="6"/>
        <v>0.38386492721836563</v>
      </c>
      <c r="E46" s="40">
        <f t="shared" si="6"/>
        <v>0.47002853928839261</v>
      </c>
      <c r="F46" s="40">
        <f t="shared" si="6"/>
        <v>0.50338918158140233</v>
      </c>
      <c r="G46" s="41">
        <f t="shared" si="6"/>
        <v>0.59014021743775058</v>
      </c>
    </row>
    <row r="49" spans="1:7" ht="21" x14ac:dyDescent="0.35">
      <c r="A49" s="23" t="s">
        <v>75</v>
      </c>
    </row>
    <row r="51" spans="1:7" ht="18.75" x14ac:dyDescent="0.3">
      <c r="A51" s="24" t="s">
        <v>76</v>
      </c>
    </row>
    <row r="52" spans="1:7" ht="15.75" x14ac:dyDescent="0.25">
      <c r="A52" s="25" t="s">
        <v>57</v>
      </c>
      <c r="B52" s="11" t="s">
        <v>48</v>
      </c>
      <c r="C52" s="11" t="s">
        <v>49</v>
      </c>
      <c r="D52" s="11" t="s">
        <v>50</v>
      </c>
      <c r="E52" s="11" t="s">
        <v>51</v>
      </c>
      <c r="F52" s="11" t="s">
        <v>52</v>
      </c>
      <c r="G52" s="20" t="s">
        <v>53</v>
      </c>
    </row>
    <row r="53" spans="1:7" x14ac:dyDescent="0.25">
      <c r="A53" s="9" t="s">
        <v>21</v>
      </c>
      <c r="B53" s="12">
        <v>40832.49</v>
      </c>
      <c r="C53" s="12">
        <v>44537.36</v>
      </c>
      <c r="D53" s="12">
        <v>47689.67</v>
      </c>
      <c r="E53" s="12">
        <v>52397.85</v>
      </c>
      <c r="F53" s="12">
        <v>55656.639999999999</v>
      </c>
      <c r="G53" s="16">
        <v>63525.95</v>
      </c>
    </row>
    <row r="54" spans="1:7" x14ac:dyDescent="0.25">
      <c r="A54" s="9" t="s">
        <v>82</v>
      </c>
      <c r="B54" s="12">
        <v>34576.17</v>
      </c>
      <c r="C54" s="12">
        <v>37020.54</v>
      </c>
      <c r="D54" s="13">
        <v>41156.01</v>
      </c>
      <c r="E54" s="12">
        <v>43970.8</v>
      </c>
      <c r="F54" s="13">
        <v>46481.47</v>
      </c>
      <c r="G54" s="16">
        <v>53066.36</v>
      </c>
    </row>
    <row r="55" spans="1:7" x14ac:dyDescent="0.25">
      <c r="A55" s="9" t="s">
        <v>83</v>
      </c>
      <c r="B55" s="12">
        <f xml:space="preserve"> B53 + B54</f>
        <v>75408.66</v>
      </c>
      <c r="C55" s="12">
        <f t="shared" ref="C55:G55" si="7" xml:space="preserve"> C53 + C54</f>
        <v>81557.899999999994</v>
      </c>
      <c r="D55" s="12">
        <f t="shared" si="7"/>
        <v>88845.68</v>
      </c>
      <c r="E55" s="12">
        <f t="shared" si="7"/>
        <v>96368.65</v>
      </c>
      <c r="F55" s="12">
        <f t="shared" si="7"/>
        <v>102138.11</v>
      </c>
      <c r="G55" s="16">
        <f t="shared" si="7"/>
        <v>116592.31</v>
      </c>
    </row>
    <row r="56" spans="1:7" x14ac:dyDescent="0.25">
      <c r="A56" s="28" t="s">
        <v>77</v>
      </c>
      <c r="B56" s="37">
        <v>5741</v>
      </c>
      <c r="C56" s="37">
        <v>5843</v>
      </c>
      <c r="D56" s="37">
        <v>5367</v>
      </c>
      <c r="E56" s="37">
        <v>6019</v>
      </c>
      <c r="F56" s="37">
        <v>7188</v>
      </c>
      <c r="G56" s="38">
        <v>7605</v>
      </c>
    </row>
    <row r="57" spans="1:7" x14ac:dyDescent="0.25">
      <c r="A57" s="39" t="s">
        <v>84</v>
      </c>
      <c r="B57" s="44">
        <f xml:space="preserve"> B55/B56</f>
        <v>13.135108866051212</v>
      </c>
      <c r="C57" s="44">
        <f t="shared" ref="C57:G57" si="8" xml:space="preserve"> C55/C56</f>
        <v>13.958223515317473</v>
      </c>
      <c r="D57" s="44">
        <f t="shared" si="8"/>
        <v>16.554067449226753</v>
      </c>
      <c r="E57" s="44">
        <f t="shared" si="8"/>
        <v>16.010740986874897</v>
      </c>
      <c r="F57" s="44">
        <f t="shared" si="8"/>
        <v>14.209531163049528</v>
      </c>
      <c r="G57" s="45">
        <f t="shared" si="8"/>
        <v>15.331007232084154</v>
      </c>
    </row>
    <row r="59" spans="1:7" ht="18.75" x14ac:dyDescent="0.3">
      <c r="A59" s="24" t="s">
        <v>78</v>
      </c>
    </row>
    <row r="60" spans="1:7" ht="15.75" x14ac:dyDescent="0.25">
      <c r="A60" s="25" t="s">
        <v>57</v>
      </c>
      <c r="B60" s="11" t="s">
        <v>48</v>
      </c>
      <c r="C60" s="11" t="s">
        <v>49</v>
      </c>
      <c r="D60" s="11" t="s">
        <v>50</v>
      </c>
      <c r="E60" s="11" t="s">
        <v>51</v>
      </c>
      <c r="F60" s="11" t="s">
        <v>52</v>
      </c>
      <c r="G60" s="20" t="s">
        <v>53</v>
      </c>
    </row>
    <row r="61" spans="1:7" x14ac:dyDescent="0.25">
      <c r="A61" s="9" t="s">
        <v>39</v>
      </c>
      <c r="B61" s="18">
        <v>476.31</v>
      </c>
      <c r="C61" s="12">
        <v>592.82000000000005</v>
      </c>
      <c r="D61" s="12">
        <v>760.16</v>
      </c>
      <c r="E61" s="12">
        <v>937.48</v>
      </c>
      <c r="F61" s="12">
        <v>1015.73</v>
      </c>
      <c r="G61" s="16">
        <v>1123.6199999999999</v>
      </c>
    </row>
    <row r="62" spans="1:7" x14ac:dyDescent="0.25">
      <c r="A62" s="9" t="s">
        <v>77</v>
      </c>
      <c r="B62" s="29">
        <v>5741</v>
      </c>
      <c r="C62" s="29">
        <v>5843</v>
      </c>
      <c r="D62" s="29">
        <v>5367</v>
      </c>
      <c r="E62" s="29">
        <v>6019</v>
      </c>
      <c r="F62" s="29">
        <v>7188</v>
      </c>
      <c r="G62" s="30">
        <v>7605</v>
      </c>
    </row>
    <row r="63" spans="1:7" x14ac:dyDescent="0.25">
      <c r="A63" s="39" t="s">
        <v>78</v>
      </c>
      <c r="B63" s="42">
        <f xml:space="preserve"> B61/B62</f>
        <v>8.2966382163386171E-2</v>
      </c>
      <c r="C63" s="42">
        <f t="shared" ref="C63:G63" si="9" xml:space="preserve"> C61/C62</f>
        <v>0.10145815505733358</v>
      </c>
      <c r="D63" s="42">
        <f t="shared" si="9"/>
        <v>0.14163592323458168</v>
      </c>
      <c r="E63" s="42">
        <f t="shared" si="9"/>
        <v>0.15575344741651437</v>
      </c>
      <c r="F63" s="42">
        <f t="shared" si="9"/>
        <v>0.14130912632164719</v>
      </c>
      <c r="G63" s="43">
        <f t="shared" si="9"/>
        <v>0.14774753451676528</v>
      </c>
    </row>
    <row r="66" spans="1:7" ht="21" x14ac:dyDescent="0.35">
      <c r="A66" s="36" t="s">
        <v>80</v>
      </c>
    </row>
    <row r="68" spans="1:7" ht="18.75" x14ac:dyDescent="0.3">
      <c r="A68" s="24" t="s">
        <v>86</v>
      </c>
    </row>
    <row r="69" spans="1:7" ht="15.75" x14ac:dyDescent="0.25">
      <c r="A69" s="25" t="s">
        <v>57</v>
      </c>
      <c r="B69" s="11" t="s">
        <v>48</v>
      </c>
      <c r="C69" s="11" t="s">
        <v>49</v>
      </c>
      <c r="D69" s="11" t="s">
        <v>50</v>
      </c>
      <c r="E69" s="11" t="s">
        <v>51</v>
      </c>
      <c r="F69" s="11" t="s">
        <v>52</v>
      </c>
      <c r="G69" s="20" t="s">
        <v>53</v>
      </c>
    </row>
    <row r="70" spans="1:7" x14ac:dyDescent="0.25">
      <c r="A70" s="9" t="s">
        <v>94</v>
      </c>
      <c r="B70" s="18">
        <v>373.85</v>
      </c>
      <c r="C70" s="12">
        <v>411.87</v>
      </c>
      <c r="D70" s="12">
        <v>629.41999999999996</v>
      </c>
      <c r="E70" s="12">
        <v>529.54999999999995</v>
      </c>
      <c r="F70" s="12">
        <v>263.45999999999998</v>
      </c>
      <c r="G70" s="16">
        <v>196.78</v>
      </c>
    </row>
    <row r="71" spans="1:7" x14ac:dyDescent="0.25">
      <c r="A71" s="9" t="s">
        <v>93</v>
      </c>
      <c r="B71" s="18">
        <v>164.29</v>
      </c>
      <c r="C71" s="12">
        <v>195</v>
      </c>
      <c r="D71" s="12">
        <v>442.49</v>
      </c>
      <c r="E71" s="12">
        <v>576.34</v>
      </c>
      <c r="F71" s="12">
        <v>505.4</v>
      </c>
      <c r="G71" s="16">
        <v>581.54</v>
      </c>
    </row>
    <row r="72" spans="1:7" x14ac:dyDescent="0.25">
      <c r="A72" s="9" t="s">
        <v>95</v>
      </c>
      <c r="B72" s="18">
        <f>B70 - B71</f>
        <v>209.56000000000003</v>
      </c>
      <c r="C72" s="18">
        <f t="shared" ref="C72:G72" si="10">C70 - C71</f>
        <v>216.87</v>
      </c>
      <c r="D72" s="18">
        <f t="shared" si="10"/>
        <v>186.92999999999995</v>
      </c>
      <c r="E72" s="18">
        <f t="shared" si="10"/>
        <v>-46.790000000000077</v>
      </c>
      <c r="F72" s="18">
        <f t="shared" si="10"/>
        <v>-241.94</v>
      </c>
      <c r="G72" s="21">
        <f t="shared" si="10"/>
        <v>-384.76</v>
      </c>
    </row>
    <row r="73" spans="1:7" x14ac:dyDescent="0.25">
      <c r="A73" s="9" t="s">
        <v>33</v>
      </c>
      <c r="B73" s="12">
        <v>34576.17</v>
      </c>
      <c r="C73" s="12">
        <v>37020.54</v>
      </c>
      <c r="D73" s="13">
        <v>41156.01</v>
      </c>
      <c r="E73" s="12">
        <v>43970.8</v>
      </c>
      <c r="F73" s="13">
        <v>46481.47</v>
      </c>
      <c r="G73" s="16">
        <v>53066.36</v>
      </c>
    </row>
    <row r="74" spans="1:7" x14ac:dyDescent="0.25">
      <c r="A74" s="39" t="s">
        <v>96</v>
      </c>
      <c r="B74" s="40">
        <f xml:space="preserve"> B72/B73</f>
        <v>6.0608216583849525E-3</v>
      </c>
      <c r="C74" s="40">
        <f t="shared" ref="C74:G74" si="11" xml:space="preserve"> C72/C73</f>
        <v>5.8580993145967075E-3</v>
      </c>
      <c r="D74" s="40">
        <f t="shared" si="11"/>
        <v>4.5419854840155777E-3</v>
      </c>
      <c r="E74" s="40">
        <f t="shared" si="11"/>
        <v>-1.0641152765016801E-3</v>
      </c>
      <c r="F74" s="40">
        <f t="shared" si="11"/>
        <v>-5.2050849510568405E-3</v>
      </c>
      <c r="G74" s="41">
        <f t="shared" si="11"/>
        <v>-7.250544412693842E-3</v>
      </c>
    </row>
    <row r="76" spans="1:7" ht="18.75" x14ac:dyDescent="0.3">
      <c r="A76" s="24" t="s">
        <v>81</v>
      </c>
    </row>
    <row r="77" spans="1:7" ht="15.75" x14ac:dyDescent="0.25">
      <c r="A77" s="52" t="s">
        <v>57</v>
      </c>
      <c r="B77" s="11" t="s">
        <v>48</v>
      </c>
      <c r="C77" s="11" t="s">
        <v>49</v>
      </c>
      <c r="D77" s="11" t="s">
        <v>50</v>
      </c>
      <c r="E77" s="11" t="s">
        <v>51</v>
      </c>
      <c r="F77" s="11" t="s">
        <v>52</v>
      </c>
      <c r="G77" s="20" t="s">
        <v>53</v>
      </c>
    </row>
    <row r="78" spans="1:7" x14ac:dyDescent="0.25">
      <c r="A78" s="53" t="s">
        <v>41</v>
      </c>
      <c r="B78" s="18">
        <v>630.87</v>
      </c>
      <c r="C78" s="18">
        <v>818</v>
      </c>
      <c r="D78" s="18">
        <v>742.08</v>
      </c>
      <c r="E78" s="18">
        <v>902.53</v>
      </c>
      <c r="F78" s="18">
        <v>933.5</v>
      </c>
      <c r="G78" s="21">
        <v>966.75</v>
      </c>
    </row>
    <row r="79" spans="1:7" x14ac:dyDescent="0.25">
      <c r="A79" s="53" t="s">
        <v>33</v>
      </c>
      <c r="B79" s="12">
        <v>34576.17</v>
      </c>
      <c r="C79" s="12">
        <v>37020.54</v>
      </c>
      <c r="D79" s="13">
        <v>41156.01</v>
      </c>
      <c r="E79" s="12">
        <v>43970.8</v>
      </c>
      <c r="F79" s="13">
        <v>46481.47</v>
      </c>
      <c r="G79" s="16">
        <v>53066.36</v>
      </c>
    </row>
    <row r="80" spans="1:7" x14ac:dyDescent="0.25">
      <c r="A80" s="54" t="s">
        <v>85</v>
      </c>
      <c r="B80" s="40">
        <f>B78/B79</f>
        <v>1.8245803395806996E-2</v>
      </c>
      <c r="C80" s="40">
        <f t="shared" ref="C80:G80" si="12">C78/C79</f>
        <v>2.2095841929912419E-2</v>
      </c>
      <c r="D80" s="40">
        <f t="shared" si="12"/>
        <v>1.8030902412551654E-2</v>
      </c>
      <c r="E80" s="40">
        <f t="shared" si="12"/>
        <v>2.0525667033576826E-2</v>
      </c>
      <c r="F80" s="40">
        <f t="shared" si="12"/>
        <v>2.0083271893079114E-2</v>
      </c>
      <c r="G80" s="41">
        <f t="shared" si="12"/>
        <v>1.8217756032258479E-2</v>
      </c>
    </row>
    <row r="83" spans="1:7" ht="21" x14ac:dyDescent="0.35">
      <c r="A83" s="23" t="s">
        <v>87</v>
      </c>
    </row>
    <row r="85" spans="1:7" ht="18.75" x14ac:dyDescent="0.3">
      <c r="A85" s="24" t="s">
        <v>88</v>
      </c>
    </row>
    <row r="86" spans="1:7" ht="15.75" x14ac:dyDescent="0.25">
      <c r="A86" s="25" t="s">
        <v>57</v>
      </c>
      <c r="B86" s="11" t="s">
        <v>48</v>
      </c>
      <c r="C86" s="11" t="s">
        <v>49</v>
      </c>
      <c r="D86" s="11" t="s">
        <v>50</v>
      </c>
      <c r="E86" s="11" t="s">
        <v>51</v>
      </c>
      <c r="F86" s="11" t="s">
        <v>52</v>
      </c>
      <c r="G86" s="20" t="s">
        <v>53</v>
      </c>
    </row>
    <row r="87" spans="1:7" x14ac:dyDescent="0.25">
      <c r="A87" s="49" t="s">
        <v>88</v>
      </c>
      <c r="B87" s="50">
        <v>2.3433999999999999</v>
      </c>
      <c r="C87" s="50">
        <v>2.7103000000000002</v>
      </c>
      <c r="D87" s="50">
        <v>2.2726999999999999</v>
      </c>
      <c r="E87" s="50">
        <v>2.3037000000000001</v>
      </c>
      <c r="F87" s="50">
        <v>2.6884000000000001</v>
      </c>
      <c r="G87" s="51">
        <v>1.3002</v>
      </c>
    </row>
    <row r="90" spans="1:7" ht="21" x14ac:dyDescent="0.35">
      <c r="A90" s="23" t="s">
        <v>97</v>
      </c>
    </row>
    <row r="92" spans="1:7" ht="18.75" x14ac:dyDescent="0.3">
      <c r="A92" s="24" t="s">
        <v>89</v>
      </c>
    </row>
    <row r="93" spans="1:7" ht="15.75" x14ac:dyDescent="0.25">
      <c r="A93" s="25" t="s">
        <v>57</v>
      </c>
      <c r="B93" s="11" t="s">
        <v>48</v>
      </c>
      <c r="C93" s="11" t="s">
        <v>49</v>
      </c>
      <c r="D93" s="11" t="s">
        <v>50</v>
      </c>
      <c r="E93" s="11" t="s">
        <v>51</v>
      </c>
      <c r="F93" s="11" t="s">
        <v>52</v>
      </c>
      <c r="G93" s="20" t="s">
        <v>53</v>
      </c>
    </row>
    <row r="94" spans="1:7" x14ac:dyDescent="0.25">
      <c r="A94" s="9" t="s">
        <v>32</v>
      </c>
      <c r="B94" s="12">
        <v>5296.06</v>
      </c>
      <c r="C94" s="12">
        <v>5842.47</v>
      </c>
      <c r="D94" s="12">
        <v>6585.7</v>
      </c>
      <c r="E94" s="12">
        <v>7457.21</v>
      </c>
      <c r="F94" s="12">
        <v>8401.43</v>
      </c>
      <c r="G94" s="16">
        <v>9466.61</v>
      </c>
    </row>
    <row r="95" spans="1:7" x14ac:dyDescent="0.25">
      <c r="A95" s="10" t="s">
        <v>20</v>
      </c>
      <c r="B95" s="12">
        <v>49733.53</v>
      </c>
      <c r="C95" s="12">
        <v>53311.68</v>
      </c>
      <c r="D95" s="12">
        <v>61530.91</v>
      </c>
      <c r="E95" s="13">
        <v>66594.559999999998</v>
      </c>
      <c r="F95" s="12">
        <v>70825.86</v>
      </c>
      <c r="G95" s="16">
        <v>77623.210000000006</v>
      </c>
    </row>
    <row r="96" spans="1:7" x14ac:dyDescent="0.25">
      <c r="A96" s="46" t="s">
        <v>90</v>
      </c>
      <c r="B96" s="40">
        <f xml:space="preserve"> B94/B95</f>
        <v>0.10648872098964221</v>
      </c>
      <c r="C96" s="40">
        <f t="shared" ref="C96:G96" si="13" xml:space="preserve"> C94/C95</f>
        <v>0.10959080636738516</v>
      </c>
      <c r="D96" s="40">
        <f t="shared" si="13"/>
        <v>0.10703075901201525</v>
      </c>
      <c r="E96" s="40">
        <f t="shared" si="13"/>
        <v>0.11197926677494378</v>
      </c>
      <c r="F96" s="40">
        <f t="shared" si="13"/>
        <v>0.11862093873621866</v>
      </c>
      <c r="G96" s="41">
        <f t="shared" si="13"/>
        <v>0.12195592014295724</v>
      </c>
    </row>
    <row r="98" spans="1:7" ht="18.75" x14ac:dyDescent="0.3">
      <c r="A98" s="24" t="s">
        <v>91</v>
      </c>
    </row>
    <row r="99" spans="1:7" ht="15.75" x14ac:dyDescent="0.25">
      <c r="A99" s="25" t="s">
        <v>57</v>
      </c>
      <c r="B99" s="11" t="s">
        <v>48</v>
      </c>
      <c r="C99" s="11" t="s">
        <v>49</v>
      </c>
      <c r="D99" s="11" t="s">
        <v>50</v>
      </c>
      <c r="E99" s="11" t="s">
        <v>51</v>
      </c>
      <c r="F99" s="11" t="s">
        <v>52</v>
      </c>
      <c r="G99" s="20" t="s">
        <v>53</v>
      </c>
    </row>
    <row r="100" spans="1:7" x14ac:dyDescent="0.25">
      <c r="A100" s="10" t="s">
        <v>20</v>
      </c>
      <c r="B100" s="12">
        <v>49733.53</v>
      </c>
      <c r="C100" s="12">
        <v>53311.68</v>
      </c>
      <c r="D100" s="12">
        <v>61530.91</v>
      </c>
      <c r="E100" s="13">
        <v>66594.559999999998</v>
      </c>
      <c r="F100" s="12">
        <v>70825.86</v>
      </c>
      <c r="G100" s="16">
        <v>77623.210000000006</v>
      </c>
    </row>
    <row r="101" spans="1:7" x14ac:dyDescent="0.25">
      <c r="A101" s="9" t="s">
        <v>32</v>
      </c>
      <c r="B101" s="12">
        <v>5296.06</v>
      </c>
      <c r="C101" s="12">
        <v>5842.47</v>
      </c>
      <c r="D101" s="12">
        <v>6585.7</v>
      </c>
      <c r="E101" s="12">
        <v>7457.21</v>
      </c>
      <c r="F101" s="12">
        <v>8401.43</v>
      </c>
      <c r="G101" s="16">
        <v>9466.61</v>
      </c>
    </row>
    <row r="102" spans="1:7" x14ac:dyDescent="0.25">
      <c r="A102" s="39" t="s">
        <v>92</v>
      </c>
      <c r="B102" s="47">
        <f xml:space="preserve"> B100/B101</f>
        <v>9.3906658912474548</v>
      </c>
      <c r="C102" s="47">
        <f t="shared" ref="C102:G102" si="14" xml:space="preserve"> C100/C101</f>
        <v>9.1248530159333292</v>
      </c>
      <c r="D102" s="47">
        <f t="shared" si="14"/>
        <v>9.3431085533808105</v>
      </c>
      <c r="E102" s="47">
        <f t="shared" si="14"/>
        <v>8.9302245746063207</v>
      </c>
      <c r="F102" s="47">
        <f t="shared" si="14"/>
        <v>8.4302148562804184</v>
      </c>
      <c r="G102" s="48">
        <f t="shared" si="14"/>
        <v>8.1996839417700738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Student's Info</vt:lpstr>
      <vt:lpstr>Raw Data</vt:lpstr>
      <vt:lpstr>Ratio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2026-07-02T17:21:28Z</dcterms:modified>
</cp:coreProperties>
</file>